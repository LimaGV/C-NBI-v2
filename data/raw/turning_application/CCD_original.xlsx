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abri\Documents\Dissertação\02_REFERENCIAS\Dados\"/>
    </mc:Choice>
  </mc:AlternateContent>
  <xr:revisionPtr revIDLastSave="0" documentId="13_ncr:1_{4B9D58F1-806C-4137-B85C-4E3E893E89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K20" i="1"/>
  <c r="J20" i="1"/>
  <c r="I20" i="1"/>
  <c r="H20" i="1"/>
  <c r="G20" i="1"/>
  <c r="F20" i="1"/>
  <c r="E20" i="1"/>
  <c r="L19" i="1"/>
  <c r="K19" i="1"/>
  <c r="J19" i="1"/>
  <c r="I19" i="1"/>
  <c r="H19" i="1"/>
  <c r="G19" i="1"/>
  <c r="F19" i="1"/>
  <c r="E19" i="1"/>
  <c r="L18" i="1"/>
  <c r="K18" i="1"/>
  <c r="J18" i="1"/>
  <c r="I18" i="1"/>
  <c r="H18" i="1"/>
  <c r="G18" i="1"/>
  <c r="F18" i="1"/>
  <c r="E18" i="1"/>
  <c r="L17" i="1"/>
  <c r="K17" i="1"/>
  <c r="J17" i="1"/>
  <c r="I17" i="1"/>
  <c r="H17" i="1"/>
  <c r="G17" i="1"/>
  <c r="F17" i="1"/>
  <c r="E17" i="1"/>
  <c r="L16" i="1"/>
  <c r="K16" i="1"/>
  <c r="J16" i="1"/>
  <c r="I16" i="1"/>
  <c r="H16" i="1"/>
  <c r="G16" i="1"/>
  <c r="F16" i="1"/>
  <c r="E16" i="1"/>
  <c r="L15" i="1"/>
  <c r="K15" i="1"/>
  <c r="J15" i="1"/>
  <c r="I15" i="1"/>
  <c r="H15" i="1"/>
  <c r="G15" i="1"/>
  <c r="F15" i="1"/>
  <c r="E15" i="1"/>
  <c r="L14" i="1"/>
  <c r="K14" i="1"/>
  <c r="J14" i="1"/>
  <c r="I14" i="1"/>
  <c r="H14" i="1"/>
  <c r="G14" i="1"/>
  <c r="F14" i="1"/>
  <c r="E14" i="1"/>
  <c r="L13" i="1"/>
  <c r="K13" i="1"/>
  <c r="J13" i="1"/>
  <c r="I13" i="1"/>
  <c r="H13" i="1"/>
  <c r="G13" i="1"/>
  <c r="F13" i="1"/>
  <c r="E13" i="1"/>
  <c r="L12" i="1"/>
  <c r="K12" i="1"/>
  <c r="J12" i="1"/>
  <c r="I12" i="1"/>
  <c r="H12" i="1"/>
  <c r="G12" i="1"/>
  <c r="F12" i="1"/>
  <c r="E12" i="1"/>
  <c r="L11" i="1"/>
  <c r="K11" i="1"/>
  <c r="J11" i="1"/>
  <c r="I11" i="1"/>
  <c r="H11" i="1"/>
  <c r="G11" i="1"/>
  <c r="F11" i="1"/>
  <c r="E11" i="1"/>
  <c r="L10" i="1"/>
  <c r="K10" i="1"/>
  <c r="J10" i="1"/>
  <c r="I10" i="1"/>
  <c r="H10" i="1"/>
  <c r="G10" i="1"/>
  <c r="F10" i="1"/>
  <c r="E10" i="1"/>
  <c r="L9" i="1"/>
  <c r="K9" i="1"/>
  <c r="J9" i="1"/>
  <c r="I9" i="1"/>
  <c r="H9" i="1"/>
  <c r="G9" i="1"/>
  <c r="F9" i="1"/>
  <c r="E9" i="1"/>
  <c r="L8" i="1"/>
  <c r="K8" i="1"/>
  <c r="J8" i="1"/>
  <c r="I8" i="1"/>
  <c r="H8" i="1"/>
  <c r="G8" i="1"/>
  <c r="F8" i="1"/>
  <c r="E8" i="1"/>
  <c r="L7" i="1"/>
  <c r="K7" i="1"/>
  <c r="J7" i="1"/>
  <c r="I7" i="1"/>
  <c r="H7" i="1"/>
  <c r="G7" i="1"/>
  <c r="F7" i="1"/>
  <c r="E7" i="1"/>
  <c r="L6" i="1"/>
  <c r="K6" i="1"/>
  <c r="J6" i="1"/>
  <c r="I6" i="1"/>
  <c r="H6" i="1"/>
  <c r="G6" i="1"/>
  <c r="F6" i="1"/>
  <c r="E6" i="1"/>
  <c r="L5" i="1"/>
  <c r="K5" i="1"/>
  <c r="J5" i="1"/>
  <c r="I5" i="1"/>
  <c r="H5" i="1"/>
  <c r="G5" i="1"/>
  <c r="F5" i="1"/>
  <c r="E5" i="1"/>
  <c r="L4" i="1"/>
  <c r="K4" i="1"/>
  <c r="J4" i="1"/>
  <c r="I4" i="1"/>
  <c r="H4" i="1"/>
  <c r="G4" i="1"/>
  <c r="F4" i="1"/>
  <c r="E4" i="1"/>
  <c r="L3" i="1"/>
  <c r="K3" i="1"/>
  <c r="J3" i="1"/>
  <c r="I3" i="1"/>
  <c r="H3" i="1"/>
  <c r="G3" i="1"/>
  <c r="F3" i="1"/>
  <c r="E3" i="1"/>
  <c r="L2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<sst xmlns="http://schemas.openxmlformats.org/spreadsheetml/2006/main" count="12" uniqueCount="12">
  <si>
    <t>T</t>
  </si>
  <si>
    <t>MTTF</t>
  </si>
  <si>
    <t>WR</t>
  </si>
  <si>
    <t>Ra</t>
  </si>
  <si>
    <t>Rt</t>
  </si>
  <si>
    <t>Kp</t>
  </si>
  <si>
    <t>ROI</t>
  </si>
  <si>
    <t>OEE</t>
  </si>
  <si>
    <t>cs</t>
  </si>
  <si>
    <t>f</t>
  </si>
  <si>
    <t>md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</si>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</sst>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bri\Documents\Disserta&#231;&#227;o\02_REFERENCIAS\Dados\NBI%20Revisa&#771;o.xlsm" TargetMode="External"/><Relationship Id="rId1" Type="http://schemas.openxmlformats.org/officeDocument/2006/relationships/externalLinkPath" Target="NBI%20Revisa&#771;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max"/>
      <sheetName val="Original Data"/>
      <sheetName val="Data"/>
      <sheetName val="NBI - Sensibilidade"/>
      <sheetName val="NBI - VRF"/>
      <sheetName val="NBI - FA"/>
      <sheetName val="NBI - PCA"/>
      <sheetName val="NBI - MMSE"/>
      <sheetName val="NBI - MMSE (2)"/>
      <sheetName val="NSGA"/>
      <sheetName val="NBI - 8Y"/>
      <sheetName val="Teste"/>
      <sheetName val="Post-Optimization (Mixture)"/>
      <sheetName val="Post-Optimization (RSM)"/>
      <sheetName val="P-O"/>
      <sheetName val="Post-RSM (Sensibilidade)"/>
      <sheetName val="Post (Sensibilidade)"/>
      <sheetName val="Generalized Distance (FA)"/>
      <sheetName val="Generalized Distance (PCA)"/>
      <sheetName val="Generalized Distance (MMSE)"/>
      <sheetName val="Generalized Distance (NSGA)"/>
      <sheetName val="Generalized Distance (VRF)"/>
      <sheetName val="Generalized Distance (8Y)"/>
      <sheetName val="Generalized (Sensibilidade)"/>
      <sheetName val="Elipses (Dados)"/>
      <sheetName val="Elipses (Plots)"/>
    </sheetNames>
    <sheetDataSet>
      <sheetData sheetId="0"/>
      <sheetData sheetId="1"/>
      <sheetData sheetId="2">
        <row r="4">
          <cell r="B4">
            <v>66</v>
          </cell>
          <cell r="C4">
            <v>3.66</v>
          </cell>
          <cell r="D4">
            <v>0.62</v>
          </cell>
          <cell r="E4">
            <v>3</v>
          </cell>
          <cell r="F4">
            <v>0.52990594533546265</v>
          </cell>
          <cell r="K4">
            <v>7.5866316494033761E-2</v>
          </cell>
          <cell r="P4">
            <v>4.4924127802190104E-3</v>
          </cell>
          <cell r="Q4">
            <v>68.306215222565058</v>
          </cell>
        </row>
        <row r="5">
          <cell r="B5">
            <v>33</v>
          </cell>
          <cell r="C5">
            <v>2.33</v>
          </cell>
          <cell r="D5">
            <v>0.64</v>
          </cell>
          <cell r="E5">
            <v>3</v>
          </cell>
          <cell r="F5">
            <v>0.39172284520165435</v>
          </cell>
          <cell r="K5">
            <v>0.16938767142586186</v>
          </cell>
          <cell r="P5">
            <v>8.885799414000627E-3</v>
          </cell>
          <cell r="Q5">
            <v>33.78516003912258</v>
          </cell>
        </row>
        <row r="6">
          <cell r="B6">
            <v>54</v>
          </cell>
          <cell r="C6">
            <v>3.47</v>
          </cell>
          <cell r="D6">
            <v>2.14</v>
          </cell>
          <cell r="E6">
            <v>7.26</v>
          </cell>
          <cell r="F6">
            <v>0.39418076532603663</v>
          </cell>
          <cell r="K6">
            <v>0.1821865549180148</v>
          </cell>
          <cell r="P6">
            <v>5.8348638903521774E-3</v>
          </cell>
          <cell r="Q6">
            <v>54.742442427701825</v>
          </cell>
        </row>
        <row r="7">
          <cell r="B7">
            <v>30</v>
          </cell>
          <cell r="C7">
            <v>2.17</v>
          </cell>
          <cell r="D7">
            <v>2.15</v>
          </cell>
          <cell r="E7">
            <v>7.42</v>
          </cell>
          <cell r="F7">
            <v>0.24936454226517679</v>
          </cell>
          <cell r="K7">
            <v>0.2888104447611855</v>
          </cell>
          <cell r="P7">
            <v>1.1403753076292036E-2</v>
          </cell>
          <cell r="Q7">
            <v>32.362254253677726</v>
          </cell>
        </row>
        <row r="8">
          <cell r="B8">
            <v>63</v>
          </cell>
          <cell r="C8">
            <v>5.2</v>
          </cell>
          <cell r="D8">
            <v>0.65</v>
          </cell>
          <cell r="E8">
            <v>3.02</v>
          </cell>
          <cell r="F8">
            <v>0.52963242352155138</v>
          </cell>
          <cell r="K8">
            <v>7.6423681554844539E-2</v>
          </cell>
          <cell r="P8">
            <v>4.4529812994221676E-3</v>
          </cell>
          <cell r="Q8">
            <v>65.842655480754189</v>
          </cell>
        </row>
        <row r="9">
          <cell r="B9">
            <v>31.5</v>
          </cell>
          <cell r="C9">
            <v>3.01</v>
          </cell>
          <cell r="D9">
            <v>0.62</v>
          </cell>
          <cell r="E9">
            <v>2.84</v>
          </cell>
          <cell r="F9">
            <v>0.39142398028538117</v>
          </cell>
          <cell r="K9">
            <v>0.16499543664813407</v>
          </cell>
          <cell r="P9">
            <v>9.6294067989220484E-3</v>
          </cell>
          <cell r="Q9">
            <v>32.361926300146635</v>
          </cell>
        </row>
        <row r="10">
          <cell r="B10">
            <v>53</v>
          </cell>
          <cell r="C10">
            <v>4.6100000000000003</v>
          </cell>
          <cell r="D10">
            <v>1.93</v>
          </cell>
          <cell r="E10">
            <v>6.78</v>
          </cell>
          <cell r="F10">
            <v>0.39410744535576625</v>
          </cell>
          <cell r="K10">
            <v>0.18249698457181041</v>
          </cell>
          <cell r="P10">
            <v>6.6257649853290477E-3</v>
          </cell>
          <cell r="Q10">
            <v>53.808149576698028</v>
          </cell>
        </row>
        <row r="11">
          <cell r="B11">
            <v>31.5</v>
          </cell>
          <cell r="C11">
            <v>1.79</v>
          </cell>
          <cell r="D11">
            <v>2.39</v>
          </cell>
          <cell r="E11">
            <v>8.2799999999999994</v>
          </cell>
          <cell r="F11">
            <v>0.24949793831021938</v>
          </cell>
          <cell r="K11">
            <v>0.2888104447611855</v>
          </cell>
          <cell r="P11">
            <v>1.0963773369931122E-2</v>
          </cell>
          <cell r="Q11">
            <v>33.57810033766534</v>
          </cell>
        </row>
        <row r="12">
          <cell r="B12">
            <v>60.5</v>
          </cell>
          <cell r="C12">
            <v>5.51</v>
          </cell>
          <cell r="D12">
            <v>0.67</v>
          </cell>
          <cell r="E12">
            <v>2.9</v>
          </cell>
          <cell r="F12">
            <v>0.53926652878248538</v>
          </cell>
          <cell r="K12">
            <v>6.745047463099911E-2</v>
          </cell>
          <cell r="P12">
            <v>4.2518586451455115E-3</v>
          </cell>
          <cell r="Q12">
            <v>62.671527667486778</v>
          </cell>
        </row>
        <row r="13">
          <cell r="B13">
            <v>25.5</v>
          </cell>
          <cell r="C13">
            <v>1.87</v>
          </cell>
          <cell r="D13">
            <v>1.17</v>
          </cell>
          <cell r="E13">
            <v>4.62</v>
          </cell>
          <cell r="F13">
            <v>0.2740632974164956</v>
          </cell>
          <cell r="K13">
            <v>0.2620506428448896</v>
          </cell>
          <cell r="P13">
            <v>1.2714749294551769E-2</v>
          </cell>
          <cell r="Q13">
            <v>27.457769660247425</v>
          </cell>
        </row>
        <row r="14">
          <cell r="B14">
            <v>40</v>
          </cell>
          <cell r="C14">
            <v>4.32</v>
          </cell>
          <cell r="D14">
            <v>0.31</v>
          </cell>
          <cell r="E14">
            <v>1.84</v>
          </cell>
          <cell r="F14">
            <v>0.53595936528166077</v>
          </cell>
          <cell r="K14">
            <v>5.601566249666614E-2</v>
          </cell>
          <cell r="P14">
            <v>7.0461764705882345E-3</v>
          </cell>
          <cell r="Q14">
            <v>42.431852595753796</v>
          </cell>
        </row>
        <row r="15">
          <cell r="B15">
            <v>41.5</v>
          </cell>
          <cell r="C15">
            <v>2.58</v>
          </cell>
          <cell r="D15">
            <v>2.14</v>
          </cell>
          <cell r="E15">
            <v>7.44</v>
          </cell>
          <cell r="F15">
            <v>0.27560589600654117</v>
          </cell>
          <cell r="K15">
            <v>0.27511885384577522</v>
          </cell>
          <cell r="P15">
            <v>8.3583096878800094E-3</v>
          </cell>
          <cell r="Q15">
            <v>43.498080102799605</v>
          </cell>
        </row>
        <row r="16">
          <cell r="B16">
            <v>51.5</v>
          </cell>
          <cell r="C16">
            <v>2.2799999999999998</v>
          </cell>
          <cell r="D16">
            <v>1.2</v>
          </cell>
          <cell r="E16">
            <v>4.5599999999999996</v>
          </cell>
          <cell r="F16">
            <v>0.36508044975424059</v>
          </cell>
          <cell r="K16">
            <v>0.20659444085901799</v>
          </cell>
          <cell r="P16">
            <v>6.4232784581617439E-3</v>
          </cell>
          <cell r="Q16">
            <v>52.202090444441254</v>
          </cell>
        </row>
        <row r="17">
          <cell r="B17">
            <v>48.5</v>
          </cell>
          <cell r="C17">
            <v>3.46</v>
          </cell>
          <cell r="D17">
            <v>0.7</v>
          </cell>
          <cell r="E17">
            <v>3.1</v>
          </cell>
          <cell r="F17">
            <v>0.36486434012138313</v>
          </cell>
          <cell r="K17">
            <v>0.20499751640111194</v>
          </cell>
          <cell r="P17">
            <v>5.7609349058841304E-3</v>
          </cell>
          <cell r="Q17">
            <v>49.168736378358169</v>
          </cell>
        </row>
        <row r="18">
          <cell r="B18">
            <v>43.5</v>
          </cell>
          <cell r="C18">
            <v>3.47</v>
          </cell>
          <cell r="D18">
            <v>0.81</v>
          </cell>
          <cell r="E18">
            <v>3.94</v>
          </cell>
          <cell r="F18">
            <v>0.36443866651855283</v>
          </cell>
          <cell r="K18">
            <v>0.2030999796006315</v>
          </cell>
          <cell r="P18">
            <v>7.1168957966904816E-3</v>
          </cell>
          <cell r="Q18">
            <v>44.284068732884244</v>
          </cell>
        </row>
        <row r="19">
          <cell r="B19">
            <v>44.5</v>
          </cell>
          <cell r="C19">
            <v>3.42</v>
          </cell>
          <cell r="D19">
            <v>0.82</v>
          </cell>
          <cell r="E19">
            <v>3.15</v>
          </cell>
          <cell r="F19">
            <v>0.36453136912166684</v>
          </cell>
          <cell r="K19">
            <v>0.20283737279535496</v>
          </cell>
          <cell r="P19">
            <v>6.6725754284073452E-3</v>
          </cell>
          <cell r="Q19">
            <v>45.283768754368509</v>
          </cell>
        </row>
        <row r="20">
          <cell r="B20">
            <v>42.5</v>
          </cell>
          <cell r="C20">
            <v>3.53</v>
          </cell>
          <cell r="D20">
            <v>0.83</v>
          </cell>
          <cell r="E20">
            <v>3.32</v>
          </cell>
          <cell r="F20">
            <v>0.36434165195667001</v>
          </cell>
          <cell r="K20">
            <v>0.20335647897376177</v>
          </cell>
          <cell r="P20">
            <v>6.5156791933909785E-3</v>
          </cell>
          <cell r="Q20">
            <v>43.28438281629316</v>
          </cell>
        </row>
        <row r="21">
          <cell r="B21">
            <v>43.25</v>
          </cell>
          <cell r="C21">
            <v>3.41</v>
          </cell>
          <cell r="D21">
            <v>0.81</v>
          </cell>
          <cell r="E21">
            <v>3.96</v>
          </cell>
          <cell r="F21">
            <v>0.36441482867465869</v>
          </cell>
          <cell r="K21">
            <v>0.20256843779624198</v>
          </cell>
          <cell r="P21">
            <v>6.5052965346150838E-3</v>
          </cell>
          <cell r="Q21">
            <v>44.034145893226558</v>
          </cell>
        </row>
        <row r="22">
          <cell r="B22">
            <v>44</v>
          </cell>
          <cell r="C22">
            <v>3.36</v>
          </cell>
          <cell r="D22">
            <v>0.83</v>
          </cell>
          <cell r="E22">
            <v>3.82</v>
          </cell>
          <cell r="F22">
            <v>0.36720202209410147</v>
          </cell>
          <cell r="K22">
            <v>0.20097402252124744</v>
          </cell>
          <cell r="P22">
            <v>6.4697960762071741E-3</v>
          </cell>
          <cell r="Q22">
            <v>44.783917040557078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Q6" sqref="Q6"/>
    </sheetView>
  </sheetViews>
  <sheetFormatPr defaultRowHeight="15" x14ac:dyDescent="0.25"/>
  <sheetData>
    <row r="1" spans="1:12" x14ac:dyDescent="0.25">
      <c r="A1" s="15" t="s">
        <v>11</v>
      </c>
      <c r="B1" s="12" t="s">
        <v>8</v>
      </c>
      <c r="C1" s="13" t="s">
        <v>9</v>
      </c>
      <c r="D1" s="14" t="s">
        <v>10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25">
      <c r="A2" s="16">
        <v>1</v>
      </c>
      <c r="B2" s="8">
        <v>100</v>
      </c>
      <c r="C2" s="8">
        <v>0.1</v>
      </c>
      <c r="D2" s="9">
        <v>0.15</v>
      </c>
      <c r="E2" s="2">
        <f>[1]Data!B4</f>
        <v>66</v>
      </c>
      <c r="F2" s="2">
        <f>[1]Data!Q4</f>
        <v>68.306215222565058</v>
      </c>
      <c r="G2" s="3">
        <f>[1]Data!P4</f>
        <v>4.4924127802190104E-3</v>
      </c>
      <c r="H2" s="2">
        <f>[1]Data!D4</f>
        <v>0.62</v>
      </c>
      <c r="I2" s="2">
        <f>[1]Data!E4</f>
        <v>3</v>
      </c>
      <c r="J2" s="2">
        <f>[1]Data!C4</f>
        <v>3.66</v>
      </c>
      <c r="K2" s="2">
        <f>[1]Data!K4</f>
        <v>7.5866316494033761E-2</v>
      </c>
      <c r="L2" s="3">
        <f>[1]Data!F4</f>
        <v>0.52990594533546265</v>
      </c>
    </row>
    <row r="3" spans="1:12" x14ac:dyDescent="0.25">
      <c r="A3" s="16">
        <v>2</v>
      </c>
      <c r="B3" s="8">
        <v>225</v>
      </c>
      <c r="C3" s="8">
        <v>0.1</v>
      </c>
      <c r="D3" s="9">
        <v>0.15</v>
      </c>
      <c r="E3" s="4">
        <f>[1]Data!B5</f>
        <v>33</v>
      </c>
      <c r="F3" s="4">
        <f>[1]Data!Q5</f>
        <v>33.78516003912258</v>
      </c>
      <c r="G3" s="5">
        <f>[1]Data!P5</f>
        <v>8.885799414000627E-3</v>
      </c>
      <c r="H3" s="4">
        <f>[1]Data!D5</f>
        <v>0.64</v>
      </c>
      <c r="I3" s="4">
        <f>[1]Data!E5</f>
        <v>3</v>
      </c>
      <c r="J3" s="4">
        <f>[1]Data!C5</f>
        <v>2.33</v>
      </c>
      <c r="K3" s="4">
        <f>[1]Data!K5</f>
        <v>0.16938767142586186</v>
      </c>
      <c r="L3" s="5">
        <f>[1]Data!F5</f>
        <v>0.39172284520165435</v>
      </c>
    </row>
    <row r="4" spans="1:12" x14ac:dyDescent="0.25">
      <c r="A4" s="16">
        <v>3</v>
      </c>
      <c r="B4" s="8">
        <v>100</v>
      </c>
      <c r="C4" s="8">
        <v>0.22</v>
      </c>
      <c r="D4" s="9">
        <v>0.15</v>
      </c>
      <c r="E4" s="4">
        <f>[1]Data!B6</f>
        <v>54</v>
      </c>
      <c r="F4" s="4">
        <f>[1]Data!Q6</f>
        <v>54.742442427701825</v>
      </c>
      <c r="G4" s="5">
        <f>[1]Data!P6</f>
        <v>5.8348638903521774E-3</v>
      </c>
      <c r="H4" s="4">
        <f>[1]Data!D6</f>
        <v>2.14</v>
      </c>
      <c r="I4" s="4">
        <f>[1]Data!E6</f>
        <v>7.26</v>
      </c>
      <c r="J4" s="4">
        <f>[1]Data!C6</f>
        <v>3.47</v>
      </c>
      <c r="K4" s="4">
        <f>[1]Data!K6</f>
        <v>0.1821865549180148</v>
      </c>
      <c r="L4" s="5">
        <f>[1]Data!F6</f>
        <v>0.39418076532603663</v>
      </c>
    </row>
    <row r="5" spans="1:12" x14ac:dyDescent="0.25">
      <c r="A5" s="16">
        <v>4</v>
      </c>
      <c r="B5" s="8">
        <v>225</v>
      </c>
      <c r="C5" s="8">
        <v>0.22</v>
      </c>
      <c r="D5" s="9">
        <v>0.15</v>
      </c>
      <c r="E5" s="4">
        <f>[1]Data!B7</f>
        <v>30</v>
      </c>
      <c r="F5" s="4">
        <f>[1]Data!Q7</f>
        <v>32.362254253677726</v>
      </c>
      <c r="G5" s="5">
        <f>[1]Data!P7</f>
        <v>1.1403753076292036E-2</v>
      </c>
      <c r="H5" s="4">
        <f>[1]Data!D7</f>
        <v>2.15</v>
      </c>
      <c r="I5" s="4">
        <f>[1]Data!E7</f>
        <v>7.42</v>
      </c>
      <c r="J5" s="4">
        <f>[1]Data!C7</f>
        <v>2.17</v>
      </c>
      <c r="K5" s="4">
        <f>[1]Data!K7</f>
        <v>0.2888104447611855</v>
      </c>
      <c r="L5" s="5">
        <f>[1]Data!F7</f>
        <v>0.24936454226517679</v>
      </c>
    </row>
    <row r="6" spans="1:12" x14ac:dyDescent="0.25">
      <c r="A6" s="16">
        <v>5</v>
      </c>
      <c r="B6" s="8">
        <v>100</v>
      </c>
      <c r="C6" s="8">
        <v>0.1</v>
      </c>
      <c r="D6" s="9">
        <v>0.33</v>
      </c>
      <c r="E6" s="4">
        <f>[1]Data!B8</f>
        <v>63</v>
      </c>
      <c r="F6" s="4">
        <f>[1]Data!Q8</f>
        <v>65.842655480754189</v>
      </c>
      <c r="G6" s="5">
        <f>[1]Data!P8</f>
        <v>4.4529812994221676E-3</v>
      </c>
      <c r="H6" s="4">
        <f>[1]Data!D8</f>
        <v>0.65</v>
      </c>
      <c r="I6" s="4">
        <f>[1]Data!E8</f>
        <v>3.02</v>
      </c>
      <c r="J6" s="4">
        <f>[1]Data!C8</f>
        <v>5.2</v>
      </c>
      <c r="K6" s="4">
        <f>[1]Data!K8</f>
        <v>7.6423681554844539E-2</v>
      </c>
      <c r="L6" s="5">
        <f>[1]Data!F8</f>
        <v>0.52963242352155138</v>
      </c>
    </row>
    <row r="7" spans="1:12" x14ac:dyDescent="0.25">
      <c r="A7" s="16">
        <v>6</v>
      </c>
      <c r="B7" s="8">
        <v>225</v>
      </c>
      <c r="C7" s="8">
        <v>0.1</v>
      </c>
      <c r="D7" s="9">
        <v>0.33</v>
      </c>
      <c r="E7" s="4">
        <f>[1]Data!B9</f>
        <v>31.5</v>
      </c>
      <c r="F7" s="4">
        <f>[1]Data!Q9</f>
        <v>32.361926300146635</v>
      </c>
      <c r="G7" s="5">
        <f>[1]Data!P9</f>
        <v>9.6294067989220484E-3</v>
      </c>
      <c r="H7" s="4">
        <f>[1]Data!D9</f>
        <v>0.62</v>
      </c>
      <c r="I7" s="4">
        <f>[1]Data!E9</f>
        <v>2.84</v>
      </c>
      <c r="J7" s="4">
        <f>[1]Data!C9</f>
        <v>3.01</v>
      </c>
      <c r="K7" s="4">
        <f>[1]Data!K9</f>
        <v>0.16499543664813407</v>
      </c>
      <c r="L7" s="5">
        <f>[1]Data!F9</f>
        <v>0.39142398028538117</v>
      </c>
    </row>
    <row r="8" spans="1:12" x14ac:dyDescent="0.25">
      <c r="A8" s="16">
        <v>7</v>
      </c>
      <c r="B8" s="8">
        <v>100</v>
      </c>
      <c r="C8" s="8">
        <v>0.22</v>
      </c>
      <c r="D8" s="9">
        <v>0.33</v>
      </c>
      <c r="E8" s="4">
        <f>[1]Data!B10</f>
        <v>53</v>
      </c>
      <c r="F8" s="4">
        <f>[1]Data!Q10</f>
        <v>53.808149576698028</v>
      </c>
      <c r="G8" s="5">
        <f>[1]Data!P10</f>
        <v>6.6257649853290477E-3</v>
      </c>
      <c r="H8" s="4">
        <f>[1]Data!D10</f>
        <v>1.93</v>
      </c>
      <c r="I8" s="4">
        <f>[1]Data!E10</f>
        <v>6.78</v>
      </c>
      <c r="J8" s="4">
        <f>[1]Data!C10</f>
        <v>4.6100000000000003</v>
      </c>
      <c r="K8" s="4">
        <f>[1]Data!K10</f>
        <v>0.18249698457181041</v>
      </c>
      <c r="L8" s="5">
        <f>[1]Data!F10</f>
        <v>0.39410744535576625</v>
      </c>
    </row>
    <row r="9" spans="1:12" x14ac:dyDescent="0.25">
      <c r="A9" s="16">
        <v>8</v>
      </c>
      <c r="B9" s="8">
        <v>225</v>
      </c>
      <c r="C9" s="8">
        <v>0.22</v>
      </c>
      <c r="D9" s="9">
        <v>0.33</v>
      </c>
      <c r="E9" s="4">
        <f>[1]Data!B11</f>
        <v>31.5</v>
      </c>
      <c r="F9" s="4">
        <f>[1]Data!Q11</f>
        <v>33.57810033766534</v>
      </c>
      <c r="G9" s="5">
        <f>[1]Data!P11</f>
        <v>1.0963773369931122E-2</v>
      </c>
      <c r="H9" s="4">
        <f>[1]Data!D11</f>
        <v>2.39</v>
      </c>
      <c r="I9" s="4">
        <f>[1]Data!E11</f>
        <v>8.2799999999999994</v>
      </c>
      <c r="J9" s="4">
        <f>[1]Data!C11</f>
        <v>1.79</v>
      </c>
      <c r="K9" s="4">
        <f>[1]Data!K11</f>
        <v>0.2888104447611855</v>
      </c>
      <c r="L9" s="5">
        <f>[1]Data!F11</f>
        <v>0.24949793831021938</v>
      </c>
    </row>
    <row r="10" spans="1:12" x14ac:dyDescent="0.25">
      <c r="A10" s="16">
        <v>9</v>
      </c>
      <c r="B10" s="8">
        <v>57.39</v>
      </c>
      <c r="C10" s="8">
        <v>0.16</v>
      </c>
      <c r="D10" s="9">
        <v>0.24</v>
      </c>
      <c r="E10" s="4">
        <f>[1]Data!B12</f>
        <v>60.5</v>
      </c>
      <c r="F10" s="4">
        <f>[1]Data!Q12</f>
        <v>62.671527667486778</v>
      </c>
      <c r="G10" s="5">
        <f>[1]Data!P12</f>
        <v>4.2518586451455115E-3</v>
      </c>
      <c r="H10" s="4">
        <f>[1]Data!D12</f>
        <v>0.67</v>
      </c>
      <c r="I10" s="4">
        <f>[1]Data!E12</f>
        <v>2.9</v>
      </c>
      <c r="J10" s="4">
        <f>[1]Data!C12</f>
        <v>5.51</v>
      </c>
      <c r="K10" s="4">
        <f>[1]Data!K12</f>
        <v>6.745047463099911E-2</v>
      </c>
      <c r="L10" s="5">
        <f>[1]Data!F12</f>
        <v>0.53926652878248538</v>
      </c>
    </row>
    <row r="11" spans="1:12" x14ac:dyDescent="0.25">
      <c r="A11" s="16">
        <v>10</v>
      </c>
      <c r="B11" s="8">
        <v>267.61</v>
      </c>
      <c r="C11" s="8">
        <v>0.16</v>
      </c>
      <c r="D11" s="9">
        <v>0.24</v>
      </c>
      <c r="E11" s="4">
        <f>[1]Data!B13</f>
        <v>25.5</v>
      </c>
      <c r="F11" s="4">
        <f>[1]Data!Q13</f>
        <v>27.457769660247425</v>
      </c>
      <c r="G11" s="5">
        <f>[1]Data!P13</f>
        <v>1.2714749294551769E-2</v>
      </c>
      <c r="H11" s="4">
        <f>[1]Data!D13</f>
        <v>1.17</v>
      </c>
      <c r="I11" s="4">
        <f>[1]Data!E13</f>
        <v>4.62</v>
      </c>
      <c r="J11" s="4">
        <f>[1]Data!C13</f>
        <v>1.87</v>
      </c>
      <c r="K11" s="4">
        <f>[1]Data!K13</f>
        <v>0.2620506428448896</v>
      </c>
      <c r="L11" s="5">
        <f>[1]Data!F13</f>
        <v>0.2740632974164956</v>
      </c>
    </row>
    <row r="12" spans="1:12" x14ac:dyDescent="0.25">
      <c r="A12" s="16">
        <v>11</v>
      </c>
      <c r="B12" s="8">
        <v>162.5</v>
      </c>
      <c r="C12" s="8">
        <v>0.05</v>
      </c>
      <c r="D12" s="9">
        <v>0.24</v>
      </c>
      <c r="E12" s="4">
        <f>[1]Data!B14</f>
        <v>40</v>
      </c>
      <c r="F12" s="4">
        <f>[1]Data!Q14</f>
        <v>42.431852595753796</v>
      </c>
      <c r="G12" s="5">
        <f>[1]Data!P14</f>
        <v>7.0461764705882345E-3</v>
      </c>
      <c r="H12" s="4">
        <f>[1]Data!D14</f>
        <v>0.31</v>
      </c>
      <c r="I12" s="4">
        <f>[1]Data!E14</f>
        <v>1.84</v>
      </c>
      <c r="J12" s="4">
        <f>[1]Data!C14</f>
        <v>4.32</v>
      </c>
      <c r="K12" s="4">
        <f>[1]Data!K14</f>
        <v>5.601566249666614E-2</v>
      </c>
      <c r="L12" s="5">
        <f>[1]Data!F14</f>
        <v>0.53595936528166077</v>
      </c>
    </row>
    <row r="13" spans="1:12" x14ac:dyDescent="0.25">
      <c r="A13" s="16">
        <v>12</v>
      </c>
      <c r="B13" s="8">
        <v>162.5</v>
      </c>
      <c r="C13" s="8">
        <v>0.26</v>
      </c>
      <c r="D13" s="9">
        <v>0.24</v>
      </c>
      <c r="E13" s="4">
        <f>[1]Data!B15</f>
        <v>41.5</v>
      </c>
      <c r="F13" s="4">
        <f>[1]Data!Q15</f>
        <v>43.498080102799605</v>
      </c>
      <c r="G13" s="5">
        <f>[1]Data!P15</f>
        <v>8.3583096878800094E-3</v>
      </c>
      <c r="H13" s="4">
        <f>[1]Data!D15</f>
        <v>2.14</v>
      </c>
      <c r="I13" s="4">
        <f>[1]Data!E15</f>
        <v>7.44</v>
      </c>
      <c r="J13" s="4">
        <f>[1]Data!C15</f>
        <v>2.58</v>
      </c>
      <c r="K13" s="4">
        <f>[1]Data!K15</f>
        <v>0.27511885384577522</v>
      </c>
      <c r="L13" s="5">
        <f>[1]Data!F15</f>
        <v>0.27560589600654117</v>
      </c>
    </row>
    <row r="14" spans="1:12" x14ac:dyDescent="0.25">
      <c r="A14" s="16">
        <v>13</v>
      </c>
      <c r="B14" s="8">
        <v>162.5</v>
      </c>
      <c r="C14" s="8">
        <v>0.16</v>
      </c>
      <c r="D14" s="9">
        <v>0.09</v>
      </c>
      <c r="E14" s="4">
        <f>[1]Data!B16</f>
        <v>51.5</v>
      </c>
      <c r="F14" s="4">
        <f>[1]Data!Q16</f>
        <v>52.202090444441254</v>
      </c>
      <c r="G14" s="5">
        <f>[1]Data!P16</f>
        <v>6.4232784581617439E-3</v>
      </c>
      <c r="H14" s="4">
        <f>[1]Data!D16</f>
        <v>1.2</v>
      </c>
      <c r="I14" s="4">
        <f>[1]Data!E16</f>
        <v>4.5599999999999996</v>
      </c>
      <c r="J14" s="4">
        <f>[1]Data!C16</f>
        <v>2.2799999999999998</v>
      </c>
      <c r="K14" s="4">
        <f>[1]Data!K16</f>
        <v>0.20659444085901799</v>
      </c>
      <c r="L14" s="5">
        <f>[1]Data!F16</f>
        <v>0.36508044975424059</v>
      </c>
    </row>
    <row r="15" spans="1:12" x14ac:dyDescent="0.25">
      <c r="A15" s="16">
        <v>14</v>
      </c>
      <c r="B15" s="8">
        <v>162.5</v>
      </c>
      <c r="C15" s="8">
        <v>0.16</v>
      </c>
      <c r="D15" s="9">
        <v>0.39</v>
      </c>
      <c r="E15" s="4">
        <f>[1]Data!B17</f>
        <v>48.5</v>
      </c>
      <c r="F15" s="4">
        <f>[1]Data!Q17</f>
        <v>49.168736378358169</v>
      </c>
      <c r="G15" s="5">
        <f>[1]Data!P17</f>
        <v>5.7609349058841304E-3</v>
      </c>
      <c r="H15" s="4">
        <f>[1]Data!D17</f>
        <v>0.7</v>
      </c>
      <c r="I15" s="4">
        <f>[1]Data!E17</f>
        <v>3.1</v>
      </c>
      <c r="J15" s="4">
        <f>[1]Data!C17</f>
        <v>3.46</v>
      </c>
      <c r="K15" s="4">
        <f>[1]Data!K17</f>
        <v>0.20499751640111194</v>
      </c>
      <c r="L15" s="5">
        <f>[1]Data!F17</f>
        <v>0.36486434012138313</v>
      </c>
    </row>
    <row r="16" spans="1:12" x14ac:dyDescent="0.25">
      <c r="A16" s="16">
        <v>15</v>
      </c>
      <c r="B16" s="8">
        <v>162.5</v>
      </c>
      <c r="C16" s="8">
        <v>0.16</v>
      </c>
      <c r="D16" s="9">
        <v>0.24</v>
      </c>
      <c r="E16" s="4">
        <f>[1]Data!B18</f>
        <v>43.5</v>
      </c>
      <c r="F16" s="4">
        <f>[1]Data!Q18</f>
        <v>44.284068732884244</v>
      </c>
      <c r="G16" s="5">
        <f>[1]Data!P18</f>
        <v>7.1168957966904816E-3</v>
      </c>
      <c r="H16" s="4">
        <f>[1]Data!D18</f>
        <v>0.81</v>
      </c>
      <c r="I16" s="4">
        <f>[1]Data!E18</f>
        <v>3.94</v>
      </c>
      <c r="J16" s="4">
        <f>[1]Data!C18</f>
        <v>3.47</v>
      </c>
      <c r="K16" s="4">
        <f>[1]Data!K18</f>
        <v>0.2030999796006315</v>
      </c>
      <c r="L16" s="5">
        <f>[1]Data!F18</f>
        <v>0.36443866651855283</v>
      </c>
    </row>
    <row r="17" spans="1:12" x14ac:dyDescent="0.25">
      <c r="A17" s="16">
        <v>16</v>
      </c>
      <c r="B17" s="8">
        <v>162.5</v>
      </c>
      <c r="C17" s="8">
        <v>0.16</v>
      </c>
      <c r="D17" s="9">
        <v>0.24</v>
      </c>
      <c r="E17" s="4">
        <f>[1]Data!B19</f>
        <v>44.5</v>
      </c>
      <c r="F17" s="4">
        <f>[1]Data!Q19</f>
        <v>45.283768754368509</v>
      </c>
      <c r="G17" s="5">
        <f>[1]Data!P19</f>
        <v>6.6725754284073452E-3</v>
      </c>
      <c r="H17" s="4">
        <f>[1]Data!D19</f>
        <v>0.82</v>
      </c>
      <c r="I17" s="4">
        <f>[1]Data!E19</f>
        <v>3.15</v>
      </c>
      <c r="J17" s="4">
        <f>[1]Data!C19</f>
        <v>3.42</v>
      </c>
      <c r="K17" s="4">
        <f>[1]Data!K19</f>
        <v>0.20283737279535496</v>
      </c>
      <c r="L17" s="5">
        <f>[1]Data!F19</f>
        <v>0.36453136912166684</v>
      </c>
    </row>
    <row r="18" spans="1:12" x14ac:dyDescent="0.25">
      <c r="A18" s="16">
        <v>17</v>
      </c>
      <c r="B18" s="8">
        <v>162.5</v>
      </c>
      <c r="C18" s="8">
        <v>0.16</v>
      </c>
      <c r="D18" s="9">
        <v>0.24</v>
      </c>
      <c r="E18" s="4">
        <f>[1]Data!B20</f>
        <v>42.5</v>
      </c>
      <c r="F18" s="4">
        <f>[1]Data!Q20</f>
        <v>43.28438281629316</v>
      </c>
      <c r="G18" s="5">
        <f>[1]Data!P20</f>
        <v>6.5156791933909785E-3</v>
      </c>
      <c r="H18" s="4">
        <f>[1]Data!D20</f>
        <v>0.83</v>
      </c>
      <c r="I18" s="4">
        <f>[1]Data!E20</f>
        <v>3.32</v>
      </c>
      <c r="J18" s="4">
        <f>[1]Data!C20</f>
        <v>3.53</v>
      </c>
      <c r="K18" s="4">
        <f>[1]Data!K20</f>
        <v>0.20335647897376177</v>
      </c>
      <c r="L18" s="5">
        <f>[1]Data!F20</f>
        <v>0.36434165195667001</v>
      </c>
    </row>
    <row r="19" spans="1:12" x14ac:dyDescent="0.25">
      <c r="A19" s="16">
        <v>18</v>
      </c>
      <c r="B19" s="8">
        <v>162.5</v>
      </c>
      <c r="C19" s="8">
        <v>0.16</v>
      </c>
      <c r="D19" s="9">
        <v>0.24</v>
      </c>
      <c r="E19" s="4">
        <f>[1]Data!B21</f>
        <v>43.25</v>
      </c>
      <c r="F19" s="4">
        <f>[1]Data!Q21</f>
        <v>44.034145893226558</v>
      </c>
      <c r="G19" s="5">
        <f>[1]Data!P21</f>
        <v>6.5052965346150838E-3</v>
      </c>
      <c r="H19" s="4">
        <f>[1]Data!D21</f>
        <v>0.81</v>
      </c>
      <c r="I19" s="4">
        <f>[1]Data!E21</f>
        <v>3.96</v>
      </c>
      <c r="J19" s="4">
        <f>[1]Data!C21</f>
        <v>3.41</v>
      </c>
      <c r="K19" s="4">
        <f>[1]Data!K21</f>
        <v>0.20256843779624198</v>
      </c>
      <c r="L19" s="5">
        <f>[1]Data!F21</f>
        <v>0.36441482867465869</v>
      </c>
    </row>
    <row r="20" spans="1:12" x14ac:dyDescent="0.25">
      <c r="A20" s="17">
        <v>19</v>
      </c>
      <c r="B20" s="10">
        <v>162.5</v>
      </c>
      <c r="C20" s="10">
        <v>0.16</v>
      </c>
      <c r="D20" s="11">
        <v>0.24</v>
      </c>
      <c r="E20" s="6">
        <f>[1]Data!B22</f>
        <v>44</v>
      </c>
      <c r="F20" s="6">
        <f>[1]Data!Q22</f>
        <v>44.783917040557078</v>
      </c>
      <c r="G20" s="7">
        <f>[1]Data!P22</f>
        <v>6.4697960762071741E-3</v>
      </c>
      <c r="H20" s="6">
        <f>[1]Data!D22</f>
        <v>0.83</v>
      </c>
      <c r="I20" s="6">
        <f>[1]Data!E22</f>
        <v>3.82</v>
      </c>
      <c r="J20" s="6">
        <f>[1]Data!C22</f>
        <v>3.36</v>
      </c>
      <c r="K20" s="6">
        <f>[1]Data!K22</f>
        <v>0.20097402252124744</v>
      </c>
      <c r="L20" s="7">
        <f>[1]Data!F22</f>
        <v>0.36720202209410147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Lima</dc:creator>
  <cp:lastModifiedBy>Gabriel Lima</cp:lastModifiedBy>
  <dcterms:created xsi:type="dcterms:W3CDTF">2015-06-05T18:19:34Z</dcterms:created>
  <dcterms:modified xsi:type="dcterms:W3CDTF">2026-10-23T19:40:05Z</dcterms:modified>
</cp:coreProperties>
</file>